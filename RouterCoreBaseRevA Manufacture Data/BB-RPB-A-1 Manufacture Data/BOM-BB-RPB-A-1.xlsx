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GitHub\RouterCore_PCB\Design\RouterCoreBaseRevA\"/>
    </mc:Choice>
  </mc:AlternateContent>
  <bookViews>
    <workbookView xWindow="0" yWindow="0" windowWidth="28800" windowHeight="11430"/>
  </bookViews>
  <sheets>
    <sheet name="RouterCoreBaseRevA" sheetId="1" r:id="rId1"/>
  </sheets>
  <calcPr calcId="162913"/>
</workbook>
</file>

<file path=xl/calcChain.xml><?xml version="1.0" encoding="utf-8"?>
<calcChain xmlns="http://schemas.openxmlformats.org/spreadsheetml/2006/main">
  <c r="L34" i="1" l="1"/>
  <c r="K34" i="1"/>
</calcChain>
</file>

<file path=xl/sharedStrings.xml><?xml version="1.0" encoding="utf-8"?>
<sst xmlns="http://schemas.openxmlformats.org/spreadsheetml/2006/main" count="233" uniqueCount="172">
  <si>
    <t>Ref</t>
  </si>
  <si>
    <t>Value</t>
  </si>
  <si>
    <t>Description</t>
  </si>
  <si>
    <t>Manufacturer</t>
  </si>
  <si>
    <t>Manufacturer Part Number</t>
  </si>
  <si>
    <t>Footprint</t>
  </si>
  <si>
    <t>Quantity</t>
  </si>
  <si>
    <t>Supplier 1</t>
  </si>
  <si>
    <t>Cost @10pcs</t>
  </si>
  <si>
    <t>Cost @1000pcs</t>
  </si>
  <si>
    <t xml:space="preserve">C1, C2, C7, C8, C10, C11, C16, C17, C18, C19, C24, C25, </t>
  </si>
  <si>
    <t>47uF</t>
  </si>
  <si>
    <t>CAP CER 47UF 10V X5R 0805</t>
  </si>
  <si>
    <t>TDK</t>
  </si>
  <si>
    <t>C2012X5R1A476MTJ00E</t>
  </si>
  <si>
    <t>C76636</t>
  </si>
  <si>
    <t>Capacitor_SMD:C_0805_2012Metric</t>
  </si>
  <si>
    <t>LCSC</t>
  </si>
  <si>
    <t xml:space="preserve">C3, C6, C12, C15, C20, C23, </t>
  </si>
  <si>
    <t>1uF</t>
  </si>
  <si>
    <t>CAP CER 1UF 10V X6S 0402</t>
  </si>
  <si>
    <t>Murata Electronics</t>
  </si>
  <si>
    <t>GRM155C81A105KA12D</t>
  </si>
  <si>
    <t>C162161</t>
  </si>
  <si>
    <t>Kpk:C_0402_Small</t>
  </si>
  <si>
    <t xml:space="preserve">C4, C5, C9, C13, C14, C21, C22, C26, </t>
  </si>
  <si>
    <t>0.1uF</t>
  </si>
  <si>
    <t>CAP CER 0.1UF 50V X7R 0402</t>
  </si>
  <si>
    <t>GCM155R71H104KE02D</t>
  </si>
  <si>
    <t>C85858</t>
  </si>
  <si>
    <t xml:space="preserve">C27, C28, C32, </t>
  </si>
  <si>
    <t>22uF</t>
  </si>
  <si>
    <t>CAP CER 22UF 10V X7R 0805</t>
  </si>
  <si>
    <t>GRM21BZ71A226ME15L</t>
  </si>
  <si>
    <t>C907991</t>
  </si>
  <si>
    <t xml:space="preserve">C29, C30, </t>
  </si>
  <si>
    <t>2.2u</t>
  </si>
  <si>
    <t>CAP CER 2.2UF 100V X7R 1206</t>
  </si>
  <si>
    <t>Samsung Electro-Mechanics</t>
  </si>
  <si>
    <t>CL31B225KCHSNNE</t>
  </si>
  <si>
    <t>C170101</t>
  </si>
  <si>
    <t>Kpk:C_1206_Small</t>
  </si>
  <si>
    <t xml:space="preserve">C31, </t>
  </si>
  <si>
    <t>0.1uF/100V</t>
  </si>
  <si>
    <t>CAP CER 0.1UF 100V X7R 0603</t>
  </si>
  <si>
    <t>YAGEO</t>
  </si>
  <si>
    <t>CC0603KRX7R0BB104</t>
  </si>
  <si>
    <t>C113803</t>
  </si>
  <si>
    <t>Kpk:C_0603_Small</t>
  </si>
  <si>
    <t xml:space="preserve">D1, </t>
  </si>
  <si>
    <t>12V</t>
  </si>
  <si>
    <t>DIODE ZENER 12V 300MW SOD323</t>
  </si>
  <si>
    <t>ON Semiconductor</t>
  </si>
  <si>
    <t>MM3Z12VT1G</t>
  </si>
  <si>
    <t>C236177</t>
  </si>
  <si>
    <t>Diode_SMD:D_SOD-323</t>
  </si>
  <si>
    <t xml:space="preserve">D2, </t>
  </si>
  <si>
    <t>SMAJ54CA</t>
  </si>
  <si>
    <t>TVS DIODE 54V 87.1V DO214AC</t>
  </si>
  <si>
    <t>Littelfuse</t>
  </si>
  <si>
    <t>C2649855</t>
  </si>
  <si>
    <t>Diode_SMD:D_SMA</t>
  </si>
  <si>
    <t xml:space="preserve">D3, D4, D5, D6, </t>
  </si>
  <si>
    <t>GREEN</t>
  </si>
  <si>
    <t>LED GREEN CLEAR CHIP SMD</t>
  </si>
  <si>
    <t>Everlight Elec</t>
  </si>
  <si>
    <t>16-213SYGC/S530-E3/TR8</t>
  </si>
  <si>
    <t>C264408</t>
  </si>
  <si>
    <t>LED_SMD:LED_0402_1005Metric</t>
  </si>
  <si>
    <t xml:space="preserve">H1, H2, H3, H4, </t>
  </si>
  <si>
    <t>MountingHole</t>
  </si>
  <si>
    <t>DNP</t>
  </si>
  <si>
    <t>MountingHole:MountingHole_2.7mm_M2.5</t>
  </si>
  <si>
    <t xml:space="preserve">H5, H6, H7, H8, </t>
  </si>
  <si>
    <t>Kpk:MountingHole_2.3mm_M2</t>
  </si>
  <si>
    <t xml:space="preserve">J1, </t>
  </si>
  <si>
    <t>SEAF-20-05.0-L-10-2-A-K-TR</t>
  </si>
  <si>
    <t>CONN HD ARRAY RCPT 200P SMD GOLD</t>
  </si>
  <si>
    <t>SAMTEC</t>
  </si>
  <si>
    <t>C6216347</t>
  </si>
  <si>
    <t>Kpk:SAMTEC_SEAF-20-05.0-L-10-2-A-K-TR</t>
  </si>
  <si>
    <t>Digi-Key</t>
  </si>
  <si>
    <t xml:space="preserve">J2, </t>
  </si>
  <si>
    <t>ZERO-HACHI 10P 0.8 HDR SR RA ETP AU</t>
  </si>
  <si>
    <t>Molex</t>
  </si>
  <si>
    <t>C19802771</t>
  </si>
  <si>
    <t>Kpk:Molex_Zero-Hachi_214721-00XX_1x10_P0.8mm_Horizontal</t>
  </si>
  <si>
    <t xml:space="preserve">J4, </t>
  </si>
  <si>
    <t>ZERO-HACHI 12P 0.8 HDR SR RA ETP AU</t>
  </si>
  <si>
    <t>Kpk:Molex_Zero-Hachi_214721-00XX_1x12_P0.8mm_Horizontal</t>
  </si>
  <si>
    <t xml:space="preserve">J5, J6, J7, J8, J9, J10, J11, J12, J13, J14, J15, J16, J17, J18, J19, J20, </t>
  </si>
  <si>
    <t>ZERO-HACHI 8P 0.8 HDR SR RA ETP AU</t>
  </si>
  <si>
    <t>Kpk:Molex_Zero-Hachi_214721-00XX_1x08_P0.8mm_Horizontal</t>
  </si>
  <si>
    <t xml:space="preserve">J21, J22, J23, </t>
  </si>
  <si>
    <t>SFP+</t>
  </si>
  <si>
    <t>CONN SFP+ RCPT 20POS SLD R/A SMD</t>
  </si>
  <si>
    <t>C277615</t>
  </si>
  <si>
    <t>Kpk:Connector_SFP</t>
  </si>
  <si>
    <t xml:space="preserve">L1, L2, L3, L4, L5, L6, </t>
  </si>
  <si>
    <t>3.3uH</t>
  </si>
  <si>
    <t>FIXED IND 3.3UH 1.8A 135MOHM SMD</t>
  </si>
  <si>
    <t>DFE252012F-3R3M=P2</t>
  </si>
  <si>
    <t>C2041573</t>
  </si>
  <si>
    <t>Inductor_SMD:L_1008_2520Metric</t>
  </si>
  <si>
    <t xml:space="preserve">L7, </t>
  </si>
  <si>
    <t>2.2uH</t>
  </si>
  <si>
    <t>FIXED IND 2.2UH 7A 29 MOHM SMD</t>
  </si>
  <si>
    <t>Shenzhen Sunlord Electronics Co., Ltd.</t>
  </si>
  <si>
    <t>MWSA0503S-2R2MT</t>
  </si>
  <si>
    <t>C408408</t>
  </si>
  <si>
    <t>Inductor_SMD:L_Sunlord_MWSA0503S</t>
  </si>
  <si>
    <t xml:space="preserve">N1, </t>
  </si>
  <si>
    <t>Kpk:Connector_SFP_and_Cage_10731013W008_CZT_SmallCageHole_Custom</t>
  </si>
  <si>
    <t xml:space="preserve">Q1, </t>
  </si>
  <si>
    <t>FDMC86139P</t>
  </si>
  <si>
    <t>MOSFET P-CH 100V 4.4A/15A 8MLP</t>
  </si>
  <si>
    <t>onsemi</t>
  </si>
  <si>
    <t>C463243</t>
  </si>
  <si>
    <t>Kpk:VSON-8_3.3x3.3mm_P0.65mm_FDMC86139P</t>
  </si>
  <si>
    <t xml:space="preserve">R1, </t>
  </si>
  <si>
    <t>DNI</t>
  </si>
  <si>
    <t>Resistor_SMD:R_0603_1608Metric</t>
  </si>
  <si>
    <t xml:space="preserve">R2, </t>
  </si>
  <si>
    <t>56K</t>
  </si>
  <si>
    <t>RES SMD 56K OHM 1% 1/16W 0402</t>
  </si>
  <si>
    <t>Yageo</t>
  </si>
  <si>
    <t>RC0402FR-0756KL</t>
  </si>
  <si>
    <t>C114756</t>
  </si>
  <si>
    <t>Resistor_SMD:R_0402_1005Metric</t>
  </si>
  <si>
    <t xml:space="preserve">R3, R16, R25, R35, </t>
  </si>
  <si>
    <t>1K</t>
  </si>
  <si>
    <t>RES SMD 1K OHM 1% 1/16W 0402</t>
  </si>
  <si>
    <t>RC0402FR-071KL</t>
  </si>
  <si>
    <t>C106235</t>
  </si>
  <si>
    <t xml:space="preserve">R4, R5, R6, R7, R8, R13, R17, R18, R19, R20, R21, R24, R26, R27, R28, R29, R30, R33, </t>
  </si>
  <si>
    <t>4.99K</t>
  </si>
  <si>
    <t>RES 4.99K OHM 1% 1/16W 0402</t>
  </si>
  <si>
    <t>RC0402FR-074K99L</t>
  </si>
  <si>
    <t>C137965</t>
  </si>
  <si>
    <t xml:space="preserve">R9, R15, R22, R31, </t>
  </si>
  <si>
    <t>100R</t>
  </si>
  <si>
    <t>RES 100 OHM 1% 1/16W 0402</t>
  </si>
  <si>
    <t>RC0402FR-07100RL</t>
  </si>
  <si>
    <t>C106232</t>
  </si>
  <si>
    <t xml:space="preserve">R10, R11, R12, R14, R23, R32, </t>
  </si>
  <si>
    <t xml:space="preserve">R34, R37, </t>
  </si>
  <si>
    <t>10K</t>
  </si>
  <si>
    <t>RES SMD 10K OHM 1% 1/16W 0402</t>
  </si>
  <si>
    <t>RC0402FR-0710KL</t>
  </si>
  <si>
    <t>C60490</t>
  </si>
  <si>
    <t xml:space="preserve">R36, </t>
  </si>
  <si>
    <t>31.6K</t>
  </si>
  <si>
    <t>RES 31.6K OHM 1% 1/16W 0402</t>
  </si>
  <si>
    <t>RC0402FR-0731K6L</t>
  </si>
  <si>
    <t>C276265</t>
  </si>
  <si>
    <t xml:space="preserve">TP1, TP2, TP3, TP4, TP5, TP6, TP7, TP8, TP9, TP10, </t>
  </si>
  <si>
    <t>TP</t>
  </si>
  <si>
    <t>TestPoint</t>
  </si>
  <si>
    <t>TestPoint:TestPoint_Pad_D1.0mm</t>
  </si>
  <si>
    <t xml:space="preserve">U1, </t>
  </si>
  <si>
    <t>TCA9544A</t>
  </si>
  <si>
    <t>IC MULTIPLEXER 1 X 1:4 20TSSOP</t>
  </si>
  <si>
    <t>Texas Instruments</t>
  </si>
  <si>
    <t>TCA9544APWR</t>
  </si>
  <si>
    <t>C2674619</t>
  </si>
  <si>
    <t>Package_SO:TSSOP-20_4.4x6.5mm_P0.65mm</t>
  </si>
  <si>
    <t xml:space="preserve">U2, </t>
  </si>
  <si>
    <t>LMR51635YDDCR</t>
  </si>
  <si>
    <t>SIMPLE SWITCHER SYNCHRONOUS BUCK</t>
  </si>
  <si>
    <t>C45262770</t>
  </si>
  <si>
    <t>Package_TO_SOT_SMD:SOT-23-6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</si>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</sst>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0" fontId="16" fillId="0" borderId="0" xfId="0" applyFont="1" applyAlignment="1">
      <alignment horizontal="center"/>
    </xf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4"/>
  <sheetViews>
    <sheetView tabSelected="1" workbookViewId="0">
      <selection activeCell="J35" sqref="J35"/>
    </sheetView>
  </sheetViews>
  <sheetFormatPr defaultRowHeight="15" x14ac:dyDescent="0.25"/>
  <cols>
    <col min="1" max="1" width="9.140625" style="1"/>
    <col min="2" max="2" width="39.42578125" customWidth="1"/>
    <col min="3" max="3" width="19.140625" customWidth="1"/>
    <col min="4" max="4" width="41" customWidth="1"/>
    <col min="5" max="5" width="25.85546875" customWidth="1"/>
    <col min="6" max="6" width="28.28515625" customWidth="1"/>
    <col min="7" max="7" width="10.140625" bestFit="1" customWidth="1"/>
    <col min="8" max="8" width="40.7109375" customWidth="1"/>
  </cols>
  <sheetData>
    <row r="1" spans="1:12" x14ac:dyDescent="0.25">
      <c r="A1" s="2" t="s">
        <v>171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17</v>
      </c>
      <c r="H1" s="3" t="s">
        <v>5</v>
      </c>
      <c r="I1" s="3" t="s">
        <v>6</v>
      </c>
      <c r="J1" s="3" t="s">
        <v>7</v>
      </c>
      <c r="K1" s="3" t="s">
        <v>8</v>
      </c>
      <c r="L1" s="3" t="s">
        <v>9</v>
      </c>
    </row>
    <row r="2" spans="1:12" x14ac:dyDescent="0.25">
      <c r="A2" s="1">
        <v>1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>
        <v>12</v>
      </c>
      <c r="J2" t="s">
        <v>17</v>
      </c>
      <c r="K2">
        <v>0.15989999999999999</v>
      </c>
      <c r="L2">
        <v>8.1699999999999995E-2</v>
      </c>
    </row>
    <row r="3" spans="1:12" x14ac:dyDescent="0.25">
      <c r="A3" s="1">
        <v>2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>
        <v>6</v>
      </c>
      <c r="J3" t="s">
        <v>17</v>
      </c>
      <c r="K3">
        <v>1.2200000000000001E-2</v>
      </c>
      <c r="L3">
        <v>9.7999999999999997E-3</v>
      </c>
    </row>
    <row r="4" spans="1:12" x14ac:dyDescent="0.25">
      <c r="A4" s="1">
        <v>3</v>
      </c>
      <c r="B4" t="s">
        <v>25</v>
      </c>
      <c r="C4" t="s">
        <v>26</v>
      </c>
      <c r="D4" t="s">
        <v>27</v>
      </c>
      <c r="E4" t="s">
        <v>21</v>
      </c>
      <c r="F4" t="s">
        <v>28</v>
      </c>
      <c r="G4" t="s">
        <v>29</v>
      </c>
      <c r="H4" t="s">
        <v>24</v>
      </c>
      <c r="I4">
        <v>8</v>
      </c>
      <c r="J4" t="s">
        <v>17</v>
      </c>
      <c r="K4">
        <v>3.0000000000000001E-3</v>
      </c>
      <c r="L4">
        <v>2.3E-3</v>
      </c>
    </row>
    <row r="5" spans="1:12" x14ac:dyDescent="0.25">
      <c r="A5" s="1">
        <v>4</v>
      </c>
      <c r="B5" t="s">
        <v>30</v>
      </c>
      <c r="C5" t="s">
        <v>31</v>
      </c>
      <c r="D5" t="s">
        <v>32</v>
      </c>
      <c r="E5" t="s">
        <v>21</v>
      </c>
      <c r="F5" t="s">
        <v>33</v>
      </c>
      <c r="G5" t="s">
        <v>34</v>
      </c>
      <c r="H5" t="s">
        <v>16</v>
      </c>
      <c r="I5">
        <v>3</v>
      </c>
      <c r="J5" t="s">
        <v>17</v>
      </c>
      <c r="K5">
        <v>0.121</v>
      </c>
      <c r="L5">
        <v>7.8700000000000006E-2</v>
      </c>
    </row>
    <row r="6" spans="1:12" x14ac:dyDescent="0.25">
      <c r="A6" s="1">
        <v>5</v>
      </c>
      <c r="B6" t="s">
        <v>35</v>
      </c>
      <c r="C6" t="s">
        <v>36</v>
      </c>
      <c r="D6" t="s">
        <v>37</v>
      </c>
      <c r="E6" t="s">
        <v>38</v>
      </c>
      <c r="F6" t="s">
        <v>39</v>
      </c>
      <c r="G6" t="s">
        <v>40</v>
      </c>
      <c r="H6" t="s">
        <v>41</v>
      </c>
      <c r="I6">
        <v>2</v>
      </c>
      <c r="J6" t="s">
        <v>17</v>
      </c>
      <c r="K6">
        <v>7.5800000000000006E-2</v>
      </c>
      <c r="L6">
        <v>5.0700000000000002E-2</v>
      </c>
    </row>
    <row r="7" spans="1:12" x14ac:dyDescent="0.25">
      <c r="A7" s="1">
        <v>6</v>
      </c>
      <c r="B7" t="s">
        <v>42</v>
      </c>
      <c r="C7" t="s">
        <v>43</v>
      </c>
      <c r="D7" t="s">
        <v>44</v>
      </c>
      <c r="E7" t="s">
        <v>45</v>
      </c>
      <c r="F7" t="s">
        <v>46</v>
      </c>
      <c r="G7" t="s">
        <v>47</v>
      </c>
      <c r="H7" t="s">
        <v>48</v>
      </c>
      <c r="I7">
        <v>1</v>
      </c>
      <c r="J7" t="s">
        <v>17</v>
      </c>
      <c r="K7">
        <v>4.1000000000000003E-3</v>
      </c>
      <c r="L7">
        <v>3.0999999999999999E-3</v>
      </c>
    </row>
    <row r="8" spans="1:12" x14ac:dyDescent="0.25">
      <c r="A8" s="1">
        <v>7</v>
      </c>
      <c r="B8" t="s">
        <v>49</v>
      </c>
      <c r="C8" t="s">
        <v>50</v>
      </c>
      <c r="D8" t="s">
        <v>51</v>
      </c>
      <c r="E8" t="s">
        <v>52</v>
      </c>
      <c r="F8" t="s">
        <v>53</v>
      </c>
      <c r="G8" t="s">
        <v>54</v>
      </c>
      <c r="H8" t="s">
        <v>55</v>
      </c>
      <c r="I8">
        <v>1</v>
      </c>
      <c r="J8" t="s">
        <v>17</v>
      </c>
      <c r="K8">
        <v>5.0799999999999998E-2</v>
      </c>
      <c r="L8">
        <v>3.5400000000000001E-2</v>
      </c>
    </row>
    <row r="9" spans="1:12" x14ac:dyDescent="0.25">
      <c r="A9" s="1">
        <v>8</v>
      </c>
      <c r="B9" t="s">
        <v>56</v>
      </c>
      <c r="C9" t="s">
        <v>57</v>
      </c>
      <c r="D9" t="s">
        <v>58</v>
      </c>
      <c r="E9" t="s">
        <v>59</v>
      </c>
      <c r="F9" t="s">
        <v>57</v>
      </c>
      <c r="G9" t="s">
        <v>60</v>
      </c>
      <c r="H9" t="s">
        <v>61</v>
      </c>
      <c r="I9">
        <v>1</v>
      </c>
      <c r="J9" t="s">
        <v>17</v>
      </c>
      <c r="K9">
        <v>0.1721</v>
      </c>
      <c r="L9">
        <v>0.1052</v>
      </c>
    </row>
    <row r="10" spans="1:12" x14ac:dyDescent="0.25">
      <c r="A10" s="1">
        <v>9</v>
      </c>
      <c r="B10" t="s">
        <v>62</v>
      </c>
      <c r="C10" t="s">
        <v>63</v>
      </c>
      <c r="D10" t="s">
        <v>64</v>
      </c>
      <c r="E10" t="s">
        <v>65</v>
      </c>
      <c r="F10" t="s">
        <v>66</v>
      </c>
      <c r="G10" t="s">
        <v>67</v>
      </c>
      <c r="H10" t="s">
        <v>68</v>
      </c>
      <c r="I10">
        <v>4</v>
      </c>
      <c r="J10" t="s">
        <v>17</v>
      </c>
      <c r="K10">
        <v>2.24E-2</v>
      </c>
      <c r="L10">
        <v>1.43E-2</v>
      </c>
    </row>
    <row r="11" spans="1:12" x14ac:dyDescent="0.25">
      <c r="A11" s="1">
        <v>10</v>
      </c>
      <c r="B11" t="s">
        <v>69</v>
      </c>
      <c r="C11" t="s">
        <v>70</v>
      </c>
      <c r="D11" t="s">
        <v>70</v>
      </c>
      <c r="F11" t="s">
        <v>71</v>
      </c>
      <c r="H11" t="s">
        <v>72</v>
      </c>
      <c r="I11">
        <v>4</v>
      </c>
    </row>
    <row r="12" spans="1:12" x14ac:dyDescent="0.25">
      <c r="A12" s="1">
        <v>11</v>
      </c>
      <c r="B12" t="s">
        <v>73</v>
      </c>
      <c r="C12" t="s">
        <v>70</v>
      </c>
      <c r="D12" t="s">
        <v>70</v>
      </c>
      <c r="F12" t="s">
        <v>71</v>
      </c>
      <c r="H12" t="s">
        <v>74</v>
      </c>
      <c r="I12">
        <v>4</v>
      </c>
    </row>
    <row r="13" spans="1:12" x14ac:dyDescent="0.25">
      <c r="A13" s="1">
        <v>12</v>
      </c>
      <c r="B13" t="s">
        <v>75</v>
      </c>
      <c r="C13" t="s">
        <v>76</v>
      </c>
      <c r="D13" t="s">
        <v>77</v>
      </c>
      <c r="E13" t="s">
        <v>78</v>
      </c>
      <c r="F13" t="s">
        <v>76</v>
      </c>
      <c r="G13" t="s">
        <v>79</v>
      </c>
      <c r="H13" t="s">
        <v>80</v>
      </c>
      <c r="I13">
        <v>1</v>
      </c>
      <c r="J13" t="s">
        <v>81</v>
      </c>
      <c r="K13">
        <v>16.856000000000002</v>
      </c>
      <c r="L13">
        <v>10.1</v>
      </c>
    </row>
    <row r="14" spans="1:12" x14ac:dyDescent="0.25">
      <c r="A14" s="1">
        <v>13</v>
      </c>
      <c r="B14" t="s">
        <v>82</v>
      </c>
      <c r="C14">
        <v>2147210101</v>
      </c>
      <c r="D14" t="s">
        <v>83</v>
      </c>
      <c r="E14" t="s">
        <v>84</v>
      </c>
      <c r="F14">
        <v>2147210101</v>
      </c>
      <c r="G14" t="s">
        <v>85</v>
      </c>
      <c r="H14" t="s">
        <v>86</v>
      </c>
      <c r="I14">
        <v>1</v>
      </c>
      <c r="J14" t="s">
        <v>81</v>
      </c>
      <c r="K14">
        <v>2.0960000000000001</v>
      </c>
      <c r="L14">
        <v>1.5521400000000001</v>
      </c>
    </row>
    <row r="15" spans="1:12" x14ac:dyDescent="0.25">
      <c r="A15" s="1">
        <v>14</v>
      </c>
      <c r="B15" t="s">
        <v>87</v>
      </c>
      <c r="C15">
        <v>2147210121</v>
      </c>
      <c r="D15" t="s">
        <v>88</v>
      </c>
      <c r="E15" t="s">
        <v>84</v>
      </c>
      <c r="F15">
        <v>2147210121</v>
      </c>
      <c r="H15" t="s">
        <v>89</v>
      </c>
      <c r="I15">
        <v>1</v>
      </c>
      <c r="J15" t="s">
        <v>81</v>
      </c>
      <c r="K15">
        <v>2.0819999999999999</v>
      </c>
      <c r="L15">
        <v>1.54114</v>
      </c>
    </row>
    <row r="16" spans="1:12" x14ac:dyDescent="0.25">
      <c r="A16" s="1">
        <v>15</v>
      </c>
      <c r="B16" t="s">
        <v>90</v>
      </c>
      <c r="C16">
        <v>2147210081</v>
      </c>
      <c r="D16" t="s">
        <v>91</v>
      </c>
      <c r="E16" t="s">
        <v>84</v>
      </c>
      <c r="F16">
        <v>2147210081</v>
      </c>
      <c r="H16" t="s">
        <v>92</v>
      </c>
      <c r="I16">
        <v>16</v>
      </c>
      <c r="J16" t="s">
        <v>81</v>
      </c>
      <c r="K16">
        <v>1.425</v>
      </c>
      <c r="L16">
        <v>1.0296000000000001</v>
      </c>
    </row>
    <row r="17" spans="1:12" x14ac:dyDescent="0.25">
      <c r="A17" s="1">
        <v>16</v>
      </c>
      <c r="B17" t="s">
        <v>93</v>
      </c>
      <c r="C17" t="s">
        <v>94</v>
      </c>
      <c r="D17" t="s">
        <v>95</v>
      </c>
      <c r="E17" t="s">
        <v>84</v>
      </c>
      <c r="F17">
        <v>744410001</v>
      </c>
      <c r="G17" t="s">
        <v>96</v>
      </c>
      <c r="H17" t="s">
        <v>97</v>
      </c>
      <c r="I17">
        <v>3</v>
      </c>
      <c r="J17" t="s">
        <v>17</v>
      </c>
      <c r="K17">
        <v>0.69540000000000002</v>
      </c>
      <c r="L17">
        <v>0.47710000000000002</v>
      </c>
    </row>
    <row r="18" spans="1:12" x14ac:dyDescent="0.25">
      <c r="A18" s="1">
        <v>17</v>
      </c>
      <c r="B18" t="s">
        <v>98</v>
      </c>
      <c r="C18" t="s">
        <v>99</v>
      </c>
      <c r="D18" t="s">
        <v>100</v>
      </c>
      <c r="E18" t="s">
        <v>21</v>
      </c>
      <c r="F18" t="s">
        <v>101</v>
      </c>
      <c r="G18" t="s">
        <v>102</v>
      </c>
      <c r="H18" t="s">
        <v>103</v>
      </c>
      <c r="I18">
        <v>6</v>
      </c>
      <c r="J18" t="s">
        <v>17</v>
      </c>
      <c r="K18">
        <v>0.17019999999999999</v>
      </c>
      <c r="L18">
        <v>0.107</v>
      </c>
    </row>
    <row r="19" spans="1:12" x14ac:dyDescent="0.25">
      <c r="A19" s="1">
        <v>18</v>
      </c>
      <c r="B19" t="s">
        <v>104</v>
      </c>
      <c r="C19" t="s">
        <v>105</v>
      </c>
      <c r="D19" t="s">
        <v>106</v>
      </c>
      <c r="E19" t="s">
        <v>107</v>
      </c>
      <c r="F19" t="s">
        <v>108</v>
      </c>
      <c r="G19" t="s">
        <v>109</v>
      </c>
      <c r="H19" t="s">
        <v>110</v>
      </c>
      <c r="I19">
        <v>1</v>
      </c>
      <c r="J19" t="s">
        <v>17</v>
      </c>
      <c r="K19">
        <v>0.26669999999999999</v>
      </c>
      <c r="L19">
        <v>0.15609999999999999</v>
      </c>
    </row>
    <row r="20" spans="1:12" x14ac:dyDescent="0.25">
      <c r="A20" s="1">
        <v>19</v>
      </c>
      <c r="B20" t="s">
        <v>111</v>
      </c>
      <c r="C20" t="s">
        <v>71</v>
      </c>
      <c r="D20" t="s">
        <v>71</v>
      </c>
      <c r="F20" t="s">
        <v>71</v>
      </c>
      <c r="H20" t="s">
        <v>112</v>
      </c>
      <c r="I20">
        <v>1</v>
      </c>
    </row>
    <row r="21" spans="1:12" x14ac:dyDescent="0.25">
      <c r="A21" s="1">
        <v>20</v>
      </c>
      <c r="B21" t="s">
        <v>113</v>
      </c>
      <c r="C21" t="s">
        <v>114</v>
      </c>
      <c r="D21" t="s">
        <v>115</v>
      </c>
      <c r="E21" t="s">
        <v>116</v>
      </c>
      <c r="F21" t="s">
        <v>114</v>
      </c>
      <c r="G21" t="s">
        <v>117</v>
      </c>
      <c r="H21" t="s">
        <v>118</v>
      </c>
      <c r="I21">
        <v>1</v>
      </c>
      <c r="J21" t="s">
        <v>17</v>
      </c>
      <c r="K21">
        <v>0.71940000000000004</v>
      </c>
      <c r="L21">
        <v>0.4607</v>
      </c>
    </row>
    <row r="22" spans="1:12" x14ac:dyDescent="0.25">
      <c r="A22" s="1">
        <v>21</v>
      </c>
      <c r="B22" t="s">
        <v>119</v>
      </c>
      <c r="C22" t="s">
        <v>120</v>
      </c>
      <c r="D22" t="s">
        <v>71</v>
      </c>
      <c r="F22" t="s">
        <v>71</v>
      </c>
      <c r="H22" t="s">
        <v>121</v>
      </c>
      <c r="I22">
        <v>1</v>
      </c>
    </row>
    <row r="23" spans="1:12" x14ac:dyDescent="0.25">
      <c r="A23" s="1">
        <v>22</v>
      </c>
      <c r="B23" t="s">
        <v>122</v>
      </c>
      <c r="C23" t="s">
        <v>123</v>
      </c>
      <c r="D23" t="s">
        <v>124</v>
      </c>
      <c r="E23" t="s">
        <v>125</v>
      </c>
      <c r="F23" t="s">
        <v>126</v>
      </c>
      <c r="G23" t="s">
        <v>127</v>
      </c>
      <c r="H23" t="s">
        <v>128</v>
      </c>
      <c r="I23">
        <v>1</v>
      </c>
      <c r="J23" t="s">
        <v>17</v>
      </c>
      <c r="K23">
        <v>6.9999999999999999E-4</v>
      </c>
      <c r="L23">
        <v>5.0000000000000001E-4</v>
      </c>
    </row>
    <row r="24" spans="1:12" x14ac:dyDescent="0.25">
      <c r="A24" s="1">
        <v>23</v>
      </c>
      <c r="B24" t="s">
        <v>129</v>
      </c>
      <c r="C24" t="s">
        <v>130</v>
      </c>
      <c r="D24" t="s">
        <v>131</v>
      </c>
      <c r="E24" t="s">
        <v>125</v>
      </c>
      <c r="F24" t="s">
        <v>132</v>
      </c>
      <c r="G24" t="s">
        <v>133</v>
      </c>
      <c r="H24" t="s">
        <v>128</v>
      </c>
      <c r="I24">
        <v>4</v>
      </c>
      <c r="J24" t="s">
        <v>17</v>
      </c>
      <c r="K24">
        <v>5.9999999999999995E-4</v>
      </c>
      <c r="L24">
        <v>5.0000000000000001E-4</v>
      </c>
    </row>
    <row r="25" spans="1:12" x14ac:dyDescent="0.25">
      <c r="A25" s="1">
        <v>24</v>
      </c>
      <c r="B25" t="s">
        <v>134</v>
      </c>
      <c r="C25" t="s">
        <v>135</v>
      </c>
      <c r="D25" t="s">
        <v>136</v>
      </c>
      <c r="E25" t="s">
        <v>125</v>
      </c>
      <c r="F25" t="s">
        <v>137</v>
      </c>
      <c r="G25" t="s">
        <v>138</v>
      </c>
      <c r="H25" t="s">
        <v>128</v>
      </c>
      <c r="I25">
        <v>18</v>
      </c>
      <c r="J25" t="s">
        <v>17</v>
      </c>
      <c r="K25">
        <v>6.9999999999999999E-4</v>
      </c>
      <c r="L25">
        <v>5.0000000000000001E-4</v>
      </c>
    </row>
    <row r="26" spans="1:12" x14ac:dyDescent="0.25">
      <c r="A26" s="1">
        <v>25</v>
      </c>
      <c r="B26" t="s">
        <v>139</v>
      </c>
      <c r="C26" t="s">
        <v>140</v>
      </c>
      <c r="D26" t="s">
        <v>141</v>
      </c>
      <c r="E26" t="s">
        <v>125</v>
      </c>
      <c r="F26" t="s">
        <v>142</v>
      </c>
      <c r="G26" t="s">
        <v>143</v>
      </c>
      <c r="H26" t="s">
        <v>128</v>
      </c>
      <c r="I26">
        <v>4</v>
      </c>
      <c r="J26" t="s">
        <v>17</v>
      </c>
      <c r="K26">
        <v>6.9999999999999999E-4</v>
      </c>
      <c r="L26">
        <v>5.9999999999999995E-4</v>
      </c>
    </row>
    <row r="27" spans="1:12" x14ac:dyDescent="0.25">
      <c r="A27" s="1">
        <v>26</v>
      </c>
      <c r="B27" t="s">
        <v>144</v>
      </c>
      <c r="C27" t="s">
        <v>71</v>
      </c>
      <c r="D27" t="s">
        <v>71</v>
      </c>
      <c r="F27" t="s">
        <v>71</v>
      </c>
      <c r="H27" t="s">
        <v>128</v>
      </c>
      <c r="I27">
        <v>6</v>
      </c>
    </row>
    <row r="28" spans="1:12" x14ac:dyDescent="0.25">
      <c r="A28" s="1">
        <v>27</v>
      </c>
      <c r="B28" t="s">
        <v>145</v>
      </c>
      <c r="C28" t="s">
        <v>146</v>
      </c>
      <c r="D28" t="s">
        <v>147</v>
      </c>
      <c r="E28" t="s">
        <v>125</v>
      </c>
      <c r="F28" t="s">
        <v>148</v>
      </c>
      <c r="G28" t="s">
        <v>149</v>
      </c>
      <c r="H28" t="s">
        <v>128</v>
      </c>
      <c r="I28">
        <v>2</v>
      </c>
      <c r="J28" t="s">
        <v>17</v>
      </c>
      <c r="K28">
        <v>5.9999999999999995E-4</v>
      </c>
      <c r="L28">
        <v>4.0000000000000002E-4</v>
      </c>
    </row>
    <row r="29" spans="1:12" x14ac:dyDescent="0.25">
      <c r="A29" s="1">
        <v>28</v>
      </c>
      <c r="B29" t="s">
        <v>150</v>
      </c>
      <c r="C29" t="s">
        <v>151</v>
      </c>
      <c r="D29" t="s">
        <v>152</v>
      </c>
      <c r="E29" t="s">
        <v>125</v>
      </c>
      <c r="F29" t="s">
        <v>153</v>
      </c>
      <c r="G29" t="s">
        <v>154</v>
      </c>
      <c r="H29" t="s">
        <v>128</v>
      </c>
      <c r="I29">
        <v>1</v>
      </c>
      <c r="J29" t="s">
        <v>17</v>
      </c>
      <c r="K29">
        <v>6.9999999999999999E-4</v>
      </c>
      <c r="L29">
        <v>5.0000000000000001E-4</v>
      </c>
    </row>
    <row r="30" spans="1:12" x14ac:dyDescent="0.25">
      <c r="A30" s="1">
        <v>29</v>
      </c>
      <c r="B30" t="s">
        <v>155</v>
      </c>
      <c r="C30" t="s">
        <v>156</v>
      </c>
      <c r="D30" t="s">
        <v>157</v>
      </c>
      <c r="F30" t="s">
        <v>71</v>
      </c>
      <c r="H30" t="s">
        <v>158</v>
      </c>
      <c r="I30">
        <v>10</v>
      </c>
    </row>
    <row r="31" spans="1:12" x14ac:dyDescent="0.25">
      <c r="A31" s="1">
        <v>30</v>
      </c>
      <c r="B31" t="s">
        <v>159</v>
      </c>
      <c r="C31" t="s">
        <v>160</v>
      </c>
      <c r="D31" t="s">
        <v>161</v>
      </c>
      <c r="E31" t="s">
        <v>162</v>
      </c>
      <c r="F31" t="s">
        <v>163</v>
      </c>
      <c r="G31" t="s">
        <v>164</v>
      </c>
      <c r="H31" t="s">
        <v>165</v>
      </c>
      <c r="I31">
        <v>1</v>
      </c>
      <c r="J31" t="s">
        <v>162</v>
      </c>
      <c r="K31">
        <v>0.66669999999999996</v>
      </c>
      <c r="L31">
        <v>0.42259999999999998</v>
      </c>
    </row>
    <row r="32" spans="1:12" x14ac:dyDescent="0.25">
      <c r="A32" s="1">
        <v>31</v>
      </c>
      <c r="B32" t="s">
        <v>166</v>
      </c>
      <c r="C32" t="s">
        <v>167</v>
      </c>
      <c r="D32" t="s">
        <v>168</v>
      </c>
      <c r="E32" t="s">
        <v>162</v>
      </c>
      <c r="F32" t="s">
        <v>167</v>
      </c>
      <c r="G32" t="s">
        <v>169</v>
      </c>
      <c r="H32" t="s">
        <v>170</v>
      </c>
      <c r="I32">
        <v>1</v>
      </c>
      <c r="J32" t="s">
        <v>81</v>
      </c>
      <c r="K32">
        <v>1.605</v>
      </c>
      <c r="L32">
        <v>0.7</v>
      </c>
    </row>
    <row r="34" spans="11:12" x14ac:dyDescent="0.25">
      <c r="K34">
        <f>SUMPRODUCT(I2:I32,K2:K32)</f>
        <v>53.066800000000001</v>
      </c>
      <c r="L34">
        <f>SUMPRODUCT(I2:I32,L2:L32)</f>
        <v>35.090780000000024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RouterCoreBaseRevA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alie</dc:creator>
  <cp:lastModifiedBy>alie</cp:lastModifiedBy>
  <dcterms:created xsi:type="dcterms:W3CDTF">2026-04-02T02:28:16Z</dcterms:created>
  <dcterms:modified xsi:type="dcterms:W3CDTF">2026-04-02T02:32:25Z</dcterms:modified>
</cp:coreProperties>
</file>